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13_ncr:1_{958D8423-2CDE-40D6-8E18-1CD01E99B97F}" xr6:coauthVersionLast="47" xr6:coauthVersionMax="47" xr10:uidLastSave="{00000000-0000-0000-0000-000000000000}"/>
  <bookViews>
    <workbookView xWindow="-108" yWindow="-108" windowWidth="23256" windowHeight="12456" xr2:uid="{2BF8C3BB-5E9A-4FBC-A393-D7FF3907B0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" i="1" l="1" a="1"/>
  <c r="J23" i="1" s="1"/>
  <c r="J20" i="1"/>
  <c r="J17" i="1"/>
  <c r="J14" i="1"/>
  <c r="J11" i="1"/>
  <c r="J8" i="1"/>
  <c r="J5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<sst xmlns="http://schemas.openxmlformats.org/spreadsheetml/2006/main" count="28" uniqueCount="25">
  <si>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</si>
  <si>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</si>
  <si>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</si>
  <si>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</si>
  <si>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</si>
  <si>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</si>
  <si>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</si>
  <si>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</si>
  <si>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</si>
  <si>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</si>
  <si>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</si>
  <si>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</si>
  <si>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</si>
  <si>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</si>
  <si>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</si>
  <si>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</si>
  <si>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</si>
  <si>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Find the maximum sales for Product B across all months</t>
  </si>
  <si>
    <t>Find the category for Product E</t>
  </si>
  <si>
    <t>sales for Product C in March</t>
  </si>
  <si>
    <t>Find the month with maximum sales for Product A</t>
  </si>
  <si>
    <t>Sum sales for Electronics category for April</t>
  </si>
  <si>
    <t>Find the average sales for Product D across all month</t>
  </si>
  <si>
    <t>Find sales for Product ID 105 in May</t>
  </si>
  <si>
    <t>PRODC MARCH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</si>
</sst>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5C36B7-A41B-47BE-BABD-09B16AC08C76}" name="Table1" displayName="Table1" ref="A1:H7" totalsRowShown="0">
  <autoFilter ref="A1:H7" xr:uid="{965C36B7-A41B-47BE-BABD-09B16AC08C76}"/>
  <tableColumns count="8">
    <tableColumn id="1" xr3:uid="{27316285-EE0E-442F-A31A-87443E9B804B}" name="ProductID"/>
    <tableColumn id="2" xr3:uid="{6154E01E-19A3-47EE-ADBA-99E60966E28C}" name="Product"/>
    <tableColumn id="3" xr3:uid="{0505BDE9-2588-4C1E-8062-A9EB23BDF4B2}" name="Category"/>
    <tableColumn id="4" xr3:uid="{F10089C7-BC5A-41E0-A5A9-14A7D2169CF5}" name="Jan Sales"/>
    <tableColumn id="5" xr3:uid="{FEA93E33-1596-4345-AB0C-5775C3747F56}" name="Feb Sales"/>
    <tableColumn id="6" xr3:uid="{3C35AD92-092C-4B51-B10D-901FBA76D8D1}" name="Mar Sales"/>
    <tableColumn id="7" xr3:uid="{73643992-1396-4311-B7FE-A2337B1ABA8D}" name="Apr Sales"/>
    <tableColumn id="8" xr3:uid="{100FF522-4B17-4E29-911D-C0E56C2F54F1}" name="May Sale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4640-0427-4EB7-B7F9-86334C265A91}">
  <dimension ref="A1:J23"/>
  <sheetViews>
    <sheetView tabSelected="1" workbookViewId="0">
      <selection activeCell="F19" sqref="F19"/>
    </sheetView>
  </sheetViews>
  <sheetFormatPr defaultRowHeight="14.4" x14ac:dyDescent="0.3"/>
  <cols>
    <col min="1" max="1" width="11.33203125" customWidth="1"/>
    <col min="2" max="2" width="9.5546875" customWidth="1"/>
    <col min="3" max="3" width="10.44140625" customWidth="1"/>
    <col min="4" max="4" width="10.33203125" customWidth="1"/>
    <col min="5" max="5" width="10.5546875" customWidth="1"/>
    <col min="6" max="6" width="11" customWidth="1"/>
    <col min="7" max="7" width="10.5546875" customWidth="1"/>
    <col min="8" max="8" width="11.33203125" customWidth="1"/>
    <col min="10" max="10" width="48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2" t="s">
        <v>19</v>
      </c>
    </row>
    <row r="2" spans="1:10" x14ac:dyDescent="0.3">
      <c r="A2">
        <v>101</v>
      </c>
      <c r="B2" t="s">
        <v>8</v>
      </c>
      <c r="C2" t="s">
        <v>9</v>
      </c>
      <c r="D2">
        <v>120</v>
      </c>
      <c r="E2">
        <v>130</v>
      </c>
      <c r="F2">
        <v>140</v>
      </c>
      <c r="G2">
        <v>150</v>
      </c>
      <c r="H2">
        <v>160</v>
      </c>
      <c r="J2" s="4">
        <f>INDEX(F1:F7,MATCH("PRODC",B1:B7,0))</f>
        <v>220</v>
      </c>
    </row>
    <row r="3" spans="1:10" x14ac:dyDescent="0.3">
      <c r="A3">
        <v>102</v>
      </c>
      <c r="B3" t="s">
        <v>10</v>
      </c>
      <c r="C3" t="s">
        <v>11</v>
      </c>
      <c r="D3">
        <v>150</v>
      </c>
      <c r="E3">
        <v>160</v>
      </c>
      <c r="F3">
        <v>170</v>
      </c>
      <c r="G3">
        <v>180</v>
      </c>
      <c r="H3">
        <v>190</v>
      </c>
    </row>
    <row r="4" spans="1:10" x14ac:dyDescent="0.3">
      <c r="A4">
        <v>103</v>
      </c>
      <c r="B4" t="s">
        <v>12</v>
      </c>
      <c r="C4" t="s">
        <v>9</v>
      </c>
      <c r="D4">
        <v>200</v>
      </c>
      <c r="E4">
        <v>210</v>
      </c>
      <c r="F4">
        <v>220</v>
      </c>
      <c r="G4">
        <v>230</v>
      </c>
      <c r="H4">
        <v>240</v>
      </c>
      <c r="J4" s="2" t="s">
        <v>18</v>
      </c>
    </row>
    <row r="5" spans="1:10" x14ac:dyDescent="0.3">
      <c r="A5">
        <v>104</v>
      </c>
      <c r="B5" t="s">
        <v>13</v>
      </c>
      <c r="C5" t="s">
        <v>14</v>
      </c>
      <c r="D5">
        <v>90</v>
      </c>
      <c r="E5">
        <v>100</v>
      </c>
      <c r="F5">
        <v>110</v>
      </c>
      <c r="G5">
        <v>120</v>
      </c>
      <c r="H5">
        <v>130</v>
      </c>
      <c r="J5" s="4" t="str">
        <f>INDEX(C1:C7,MATCH("PRODE",B1:B7,0))</f>
        <v>Furniture</v>
      </c>
    </row>
    <row r="6" spans="1:10" x14ac:dyDescent="0.3">
      <c r="A6">
        <v>105</v>
      </c>
      <c r="B6" t="s">
        <v>15</v>
      </c>
      <c r="C6" t="s">
        <v>11</v>
      </c>
      <c r="D6">
        <v>220</v>
      </c>
      <c r="E6">
        <v>230</v>
      </c>
      <c r="F6">
        <v>240</v>
      </c>
      <c r="G6">
        <v>250</v>
      </c>
      <c r="H6">
        <v>260</v>
      </c>
    </row>
    <row r="7" spans="1:10" x14ac:dyDescent="0.3">
      <c r="A7">
        <v>106</v>
      </c>
      <c r="B7" t="s">
        <v>16</v>
      </c>
      <c r="C7" t="s">
        <v>9</v>
      </c>
      <c r="D7">
        <v>130</v>
      </c>
      <c r="E7">
        <v>140</v>
      </c>
      <c r="F7">
        <v>150</v>
      </c>
      <c r="G7">
        <v>160</v>
      </c>
      <c r="H7">
        <v>170</v>
      </c>
      <c r="J7" s="3" t="s">
        <v>17</v>
      </c>
    </row>
    <row r="8" spans="1:10" x14ac:dyDescent="0.3">
      <c r="J8" s="4">
        <f>MAX(INDEX(D1:H7,MATCH("PRODB",B1:B7,0),0))</f>
        <v>190</v>
      </c>
    </row>
    <row r="9" spans="1:10" x14ac:dyDescent="0.3">
      <c r="J9" s="1"/>
    </row>
    <row r="10" spans="1:10" x14ac:dyDescent="0.3">
      <c r="J10" s="2" t="s">
        <v>20</v>
      </c>
    </row>
    <row r="11" spans="1:10" x14ac:dyDescent="0.3">
      <c r="J11" s="4" t="str">
        <f>INDEX(D1:H1, MATCH(MAX(INDEX(D2:H7, MATCH("PRODA", B2:B7, 0), 0)), D2:H2, 0))</f>
        <v>May Sales</v>
      </c>
    </row>
    <row r="13" spans="1:10" x14ac:dyDescent="0.3">
      <c r="J13" s="2" t="s">
        <v>21</v>
      </c>
    </row>
    <row r="14" spans="1:10" x14ac:dyDescent="0.3">
      <c r="J14" s="4">
        <f>SUMIF(C1:C7,"ELECTRONICS",G1:G7)</f>
        <v>540</v>
      </c>
    </row>
    <row r="16" spans="1:10" x14ac:dyDescent="0.3">
      <c r="J16" s="2" t="s">
        <v>22</v>
      </c>
    </row>
    <row r="17" spans="10:10" x14ac:dyDescent="0.3">
      <c r="J17" s="4">
        <f>AVERAGE(INDEX(D1:H7,MATCH("PRODD",B1:B7,0),0))</f>
        <v>110</v>
      </c>
    </row>
    <row r="19" spans="10:10" x14ac:dyDescent="0.3">
      <c r="J19" s="2" t="s">
        <v>23</v>
      </c>
    </row>
    <row r="20" spans="10:10" x14ac:dyDescent="0.3">
      <c r="J20" s="4">
        <f>INDEX(H2:H7,MATCH(105,A2:A7,0))</f>
        <v>260</v>
      </c>
    </row>
    <row r="22" spans="10:10" x14ac:dyDescent="0.3">
      <c r="J22" s="2" t="s">
        <v>24</v>
      </c>
    </row>
    <row r="23" spans="10:10" x14ac:dyDescent="0.3">
      <c r="J23" s="4" cm="1">
        <f t="array" ref="J23">INDEX($D$2:$H$7,
MATCH(TRUE,ISNUMBER(SEARCH($B$24,$B$2:$B$7)),0),
MATCH(TRUE,ISNUMBER(SEARCH($B$25,$D$1:$H$1)),0))</f>
        <v>120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sharma</dc:creator>
  <cp:lastModifiedBy>shivam sharma</cp:lastModifiedBy>
  <dcterms:created xsi:type="dcterms:W3CDTF">2026-01-02T15:00:38Z</dcterms:created>
  <dcterms:modified xsi:type="dcterms:W3CDTF">2026-01-05T10:39:58Z</dcterms:modified>
</cp:coreProperties>
</file>